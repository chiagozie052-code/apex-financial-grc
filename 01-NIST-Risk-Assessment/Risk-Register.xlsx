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Legend &amp; Notes" sheetId="2" state="visible" r:id="rId4"/>
  </sheets>
  <definedNames>
    <definedName function="false" hidden="true" localSheetId="0" name="_xlnm._FilterDatabase" vbProcedure="false">'Risk Register'!$A$1:$I$16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<sst xmlns="http://schemas.openxmlformats.org/spreadsheetml/2006/main" count="98" uniqueCount="78">
  <si>
    <t xml:space="preserve">Risk ID</t>
  </si>
  <si>
    <t xml:space="preserve">Risk Statement</t>
  </si>
  <si>
    <t xml:space="preserve">Related Asset ID</t>
  </si>
  <si>
    <t xml:space="preserve">Related Threat ID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</si>
  <si>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</si>
  <si>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</si>
  <si>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</si>
  <si>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</si>
  <si>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Treatment</t>
  </si>
  <si>
    <t xml:space="preserve">R-001</t>
  </si>
  <si>
    <t xml:space="preserve">Phishing attack compromises employee credentials, enabling unauthorized access to Entra ID and Microsoft 365.</t>
  </si>
  <si>
    <t xml:space="preserve">A-001</t>
  </si>
  <si>
    <t xml:space="preserve">T-001</t>
  </si>
  <si>
    <t xml:space="preserve">Mitigate</t>
  </si>
  <si>
    <t xml:space="preserve">R-002</t>
  </si>
  <si>
    <t xml:space="preserve">A compromised or misused privileged account in the PAM vault is used to escalate access across critical systems.</t>
  </si>
  <si>
    <t xml:space="preserve">A-008</t>
  </si>
  <si>
    <t xml:space="preserve">T-002</t>
  </si>
  <si>
    <t xml:space="preserve">R-003</t>
  </si>
  <si>
    <t xml:space="preserve">Ransomware encrypts the customer database, halting operations and risking data loss.</t>
  </si>
  <si>
    <t xml:space="preserve">A-002</t>
  </si>
  <si>
    <t xml:space="preserve">T-003</t>
  </si>
  <si>
    <t xml:space="preserve">R-004</t>
  </si>
  <si>
    <t xml:space="preserve">Ransomware disrupts the Core Banking / Loan Origination System, delaying loan processing and customer transactions.</t>
  </si>
  <si>
    <t xml:space="preserve">A-007</t>
  </si>
  <si>
    <t xml:space="preserve">R-005</t>
  </si>
  <si>
    <t xml:space="preserve">A third-party vendor breach exposes Apex customer data shared through the Vendor Management Platform.</t>
  </si>
  <si>
    <t xml:space="preserve">A-016</t>
  </si>
  <si>
    <t xml:space="preserve">T-004</t>
  </si>
  <si>
    <t xml:space="preserve">R-006</t>
  </si>
  <si>
    <t xml:space="preserve">Misconfiguration of the Azure SQL customer database exposes restricted PII to unauthorized parties.</t>
  </si>
  <si>
    <t xml:space="preserve">T-005</t>
  </si>
  <si>
    <t xml:space="preserve">R-007</t>
  </si>
  <si>
    <t xml:space="preserve">An employee exfiltrates customer records or source code for personal or competitive gain.</t>
  </si>
  <si>
    <t xml:space="preserve">T-006</t>
  </si>
  <si>
    <t xml:space="preserve">R-008</t>
  </si>
  <si>
    <t xml:space="preserve">A business email compromise scheme tricks staff into a fraudulent wire transfer via a spoofed executive request.</t>
  </si>
  <si>
    <t xml:space="preserve">A-017</t>
  </si>
  <si>
    <t xml:space="preserve">T-007</t>
  </si>
  <si>
    <t xml:space="preserve">R-009</t>
  </si>
  <si>
    <t xml:space="preserve">An unpatched vulnerability on an employee endpoint is exploited to gain initial network access.</t>
  </si>
  <si>
    <t xml:space="preserve">A-010</t>
  </si>
  <si>
    <t xml:space="preserve">T-008</t>
  </si>
  <si>
    <t xml:space="preserve">R-010</t>
  </si>
  <si>
    <t xml:space="preserve">Orphaned access from incomplete offboarding allows a former employee to retain access to Entra ID.</t>
  </si>
  <si>
    <t xml:space="preserve">T-009</t>
  </si>
  <si>
    <t xml:space="preserve">R-011</t>
  </si>
  <si>
    <t xml:space="preserve">A distributed denial-of-service attack disrupts availability of Microsoft 365 and customer-facing services.</t>
  </si>
  <si>
    <t xml:space="preserve">A-004</t>
  </si>
  <si>
    <t xml:space="preserve">T-010</t>
  </si>
  <si>
    <t xml:space="preserve">Accept</t>
  </si>
  <si>
    <t xml:space="preserve">R-012</t>
  </si>
  <si>
    <t xml:space="preserve">A lost or stolen laptop containing cached credentials results in unauthorized data access.</t>
  </si>
  <si>
    <t xml:space="preserve">T-011</t>
  </si>
  <si>
    <t xml:space="preserve">R-013</t>
  </si>
  <si>
    <t xml:space="preserve">Employees input sensitive customer data into an unapproved AI tool, risking exposure or model training on confidential data.</t>
  </si>
  <si>
    <t xml:space="preserve">T-012</t>
  </si>
  <si>
    <t xml:space="preserve">R-014</t>
  </si>
  <si>
    <t xml:space="preserve">A user holding both payment-creation and payment-approval entitlements processes a fraudulent transaction undetected.</t>
  </si>
  <si>
    <t xml:space="preserve">T-013</t>
  </si>
  <si>
    <t xml:space="preserve">R-015</t>
  </si>
  <si>
    <t xml:space="preserve">A compromised vendor integration with Salesforce exposes customer relationship and sales data.</t>
  </si>
  <si>
    <t xml:space="preserve">A-006</t>
  </si>
  <si>
    <t xml:space="preserve">Transfer</t>
  </si>
  <si>
    <t xml:space="preserve">Risk Register — Legend &amp; Notes</t>
  </si>
  <si>
    <t xml:space="preserve">Purpose: Scores each identified threat against the asset(s) it affects, producing a prioritized list of risks for Apex Financial Services (fictional company).</t>
  </si>
  <si>
    <t xml:space="preserve">Column definitions:</t>
  </si>
  <si>
    <t xml:space="preserve">  Risk ID — Unique identifier, referenced in the Risk Treatment Plan.</t>
  </si>
  <si>
    <t xml:space="preserve">  Risk Statement — Plain-language description of the risk scenario (threat acting against an asset).</t>
  </si>
  <si>
    <t xml:space="preserve">  Related Asset ID — Cross-reference to Asset-Inventory.xlsx.</t>
  </si>
  <si>
    <t xml:space="preserve">  Related Threat ID — Cross-reference to Threat-Assessment.xlsx.</t>
  </si>
  <si>
    <t xml:space="preserve">  Likelihood (1-5) — 1 = Very Low, 2 = Low, 3 = Moderate, 4 = High, 5 = Very High probability of occurrence.</t>
  </si>
  <si>
    <t xml:space="preserve">  Impact (1-5) — 1 = Very Low, 2 = Low, 3 = Moderate, 4 = High, 5 = Very High business impact if realized.</t>
  </si>
  <si>
    <t xml:space="preserve">  Risk Score — Calculated as Likelihood x Impact (formula-driven; editing either input updates the score automatically).</t>
  </si>
  <si>
    <t xml:space="preserve">  Risk Level — Derived from Risk Score: Low (1-5), Medium (6-11), High (12-19), Critical (20-25).</t>
  </si>
  <si>
    <t xml:space="preserve">  Treatment — Initial risk response direction (Avoid, Mitigate, Transfer, Accept). Detailed remediation for High/Critical risks is documented in Risk-Treatment-Plan.xlsx.</t>
  </si>
  <si>
    <t xml:space="preserve">Scoring methodology: Risk Score = Likelihood x Impact, consistent with a standard qualitative risk matrix approach (5x5 scale).</t>
  </si>
  <si>
    <t xml:space="preserve">Note: Apex Financial Services is a fictional company created for portfolio purposes. All risks, scores, and details in this file are simulated and do not represent any real organization.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</si>
</sst>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2E5C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A2E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DE2C8"/>
          <bgColor rgb="FF000000"/>
        </patternFill>
      </fill>
    </dxf>
    <dxf>
      <fill>
        <patternFill patternType="solid">
          <fgColor rgb="FFFFF2C8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DE2C8"/>
        </patternFill>
      </fill>
    </dxf>
    <dxf>
      <fill>
        <patternFill>
          <bgColor rgb="FFFFF2C8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2C8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E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1.5" hidden="false" customHeight="true" outlineLevel="0" collapsed="false">
      <c r="A2" s="2" t="s">
        <v>9</v>
      </c>
      <c r="B2" s="3" t="s">
        <v>10</v>
      </c>
      <c r="C2" s="2" t="s">
        <v>11</v>
      </c>
      <c r="D2" s="2" t="s">
        <v>12</v>
      </c>
      <c r="E2" s="4" t="n">
        <v>4</v>
      </c>
      <c r="F2" s="4" t="n">
        <v>4</v>
      </c>
      <c r="G2" s="2" t="n">
        <f aca="false">E2*F2</f>
        <v>16</v>
      </c>
      <c r="H2" s="2" t="str">
        <f aca="false">IF(G2&gt;=20,"Critical",IF(G2&gt;=12,"High",IF(G2&gt;=6,"Medium","Low")))</f>
        <v>High</v>
      </c>
      <c r="I2" s="2" t="s">
        <v>13</v>
      </c>
    </row>
    <row r="3" customFormat="false" ht="31.5" hidden="false" customHeight="true" outlineLevel="0" collapsed="false">
      <c r="A3" s="2" t="s">
        <v>14</v>
      </c>
      <c r="B3" s="3" t="s">
        <v>15</v>
      </c>
      <c r="C3" s="2" t="s">
        <v>16</v>
      </c>
      <c r="D3" s="2" t="s">
        <v>17</v>
      </c>
      <c r="E3" s="4" t="n">
        <v>3</v>
      </c>
      <c r="F3" s="4" t="n">
        <v>5</v>
      </c>
      <c r="G3" s="2" t="n">
        <f aca="false">E3*F3</f>
        <v>15</v>
      </c>
      <c r="H3" s="2" t="str">
        <f aca="false">IF(G3&gt;=20,"Critical",IF(G3&gt;=12,"High",IF(G3&gt;=6,"Medium","Low")))</f>
        <v>High</v>
      </c>
      <c r="I3" s="2" t="s">
        <v>13</v>
      </c>
    </row>
    <row r="4" customFormat="false" ht="31.5" hidden="false" customHeight="true" outlineLevel="0" collapsed="false">
      <c r="A4" s="2" t="s">
        <v>18</v>
      </c>
      <c r="B4" s="3" t="s">
        <v>19</v>
      </c>
      <c r="C4" s="2" t="s">
        <v>20</v>
      </c>
      <c r="D4" s="2" t="s">
        <v>21</v>
      </c>
      <c r="E4" s="4" t="n">
        <v>3</v>
      </c>
      <c r="F4" s="4" t="n">
        <v>5</v>
      </c>
      <c r="G4" s="2" t="n">
        <f aca="false">E4*F4</f>
        <v>15</v>
      </c>
      <c r="H4" s="2" t="str">
        <f aca="false">IF(G4&gt;=20,"Critical",IF(G4&gt;=12,"High",IF(G4&gt;=6,"Medium","Low")))</f>
        <v>High</v>
      </c>
      <c r="I4" s="2" t="s">
        <v>13</v>
      </c>
    </row>
    <row r="5" customFormat="false" ht="31.5" hidden="false" customHeight="true" outlineLevel="0" collapsed="false">
      <c r="A5" s="2" t="s">
        <v>22</v>
      </c>
      <c r="B5" s="3" t="s">
        <v>23</v>
      </c>
      <c r="C5" s="2" t="s">
        <v>24</v>
      </c>
      <c r="D5" s="2" t="s">
        <v>21</v>
      </c>
      <c r="E5" s="4" t="n">
        <v>3</v>
      </c>
      <c r="F5" s="4" t="n">
        <v>5</v>
      </c>
      <c r="G5" s="2" t="n">
        <f aca="false">E5*F5</f>
        <v>15</v>
      </c>
      <c r="H5" s="2" t="str">
        <f aca="false">IF(G5&gt;=20,"Critical",IF(G5&gt;=12,"High",IF(G5&gt;=6,"Medium","Low")))</f>
        <v>High</v>
      </c>
      <c r="I5" s="2" t="s">
        <v>13</v>
      </c>
    </row>
    <row r="6" customFormat="false" ht="31.5" hidden="false" customHeight="true" outlineLevel="0" collapsed="false">
      <c r="A6" s="2" t="s">
        <v>25</v>
      </c>
      <c r="B6" s="3" t="s">
        <v>26</v>
      </c>
      <c r="C6" s="2" t="s">
        <v>27</v>
      </c>
      <c r="D6" s="2" t="s">
        <v>28</v>
      </c>
      <c r="E6" s="4" t="n">
        <v>3</v>
      </c>
      <c r="F6" s="4" t="n">
        <v>4</v>
      </c>
      <c r="G6" s="2" t="n">
        <f aca="false">E6*F6</f>
        <v>12</v>
      </c>
      <c r="H6" s="2" t="str">
        <f aca="false">IF(G6&gt;=20,"Critical",IF(G6&gt;=12,"High",IF(G6&gt;=6,"Medium","Low")))</f>
        <v>High</v>
      </c>
      <c r="I6" s="2" t="s">
        <v>13</v>
      </c>
    </row>
    <row r="7" customFormat="false" ht="31.5" hidden="false" customHeight="true" outlineLevel="0" collapsed="false">
      <c r="A7" s="2" t="s">
        <v>29</v>
      </c>
      <c r="B7" s="3" t="s">
        <v>30</v>
      </c>
      <c r="C7" s="2" t="s">
        <v>20</v>
      </c>
      <c r="D7" s="2" t="s">
        <v>31</v>
      </c>
      <c r="E7" s="4" t="n">
        <v>2</v>
      </c>
      <c r="F7" s="4" t="n">
        <v>5</v>
      </c>
      <c r="G7" s="2" t="n">
        <f aca="false">E7*F7</f>
        <v>10</v>
      </c>
      <c r="H7" s="2" t="str">
        <f aca="false">IF(G7&gt;=20,"Critical",IF(G7&gt;=12,"High",IF(G7&gt;=6,"Medium","Low")))</f>
        <v>Medium</v>
      </c>
      <c r="I7" s="2" t="s">
        <v>13</v>
      </c>
    </row>
    <row r="8" customFormat="false" ht="31.5" hidden="false" customHeight="true" outlineLevel="0" collapsed="false">
      <c r="A8" s="2" t="s">
        <v>32</v>
      </c>
      <c r="B8" s="3" t="s">
        <v>33</v>
      </c>
      <c r="C8" s="2" t="s">
        <v>20</v>
      </c>
      <c r="D8" s="2" t="s">
        <v>34</v>
      </c>
      <c r="E8" s="4" t="n">
        <v>2</v>
      </c>
      <c r="F8" s="4" t="n">
        <v>4</v>
      </c>
      <c r="G8" s="2" t="n">
        <f aca="false">E8*F8</f>
        <v>8</v>
      </c>
      <c r="H8" s="2" t="str">
        <f aca="false">IF(G8&gt;=20,"Critical",IF(G8&gt;=12,"High",IF(G8&gt;=6,"Medium","Low")))</f>
        <v>Medium</v>
      </c>
      <c r="I8" s="2" t="s">
        <v>13</v>
      </c>
    </row>
    <row r="9" customFormat="false" ht="31.5" hidden="false" customHeight="true" outlineLevel="0" collapsed="false">
      <c r="A9" s="2" t="s">
        <v>35</v>
      </c>
      <c r="B9" s="3" t="s">
        <v>36</v>
      </c>
      <c r="C9" s="2" t="s">
        <v>37</v>
      </c>
      <c r="D9" s="2" t="s">
        <v>38</v>
      </c>
      <c r="E9" s="4" t="n">
        <v>3</v>
      </c>
      <c r="F9" s="4" t="n">
        <v>4</v>
      </c>
      <c r="G9" s="2" t="n">
        <f aca="false">E9*F9</f>
        <v>12</v>
      </c>
      <c r="H9" s="2" t="str">
        <f aca="false">IF(G9&gt;=20,"Critical",IF(G9&gt;=12,"High",IF(G9&gt;=6,"Medium","Low")))</f>
        <v>High</v>
      </c>
      <c r="I9" s="2" t="s">
        <v>13</v>
      </c>
    </row>
    <row r="10" customFormat="false" ht="31.5" hidden="false" customHeight="true" outlineLevel="0" collapsed="false">
      <c r="A10" s="2" t="s">
        <v>39</v>
      </c>
      <c r="B10" s="3" t="s">
        <v>40</v>
      </c>
      <c r="C10" s="2" t="s">
        <v>41</v>
      </c>
      <c r="D10" s="2" t="s">
        <v>42</v>
      </c>
      <c r="E10" s="4" t="n">
        <v>4</v>
      </c>
      <c r="F10" s="4" t="n">
        <v>3</v>
      </c>
      <c r="G10" s="2" t="n">
        <f aca="false">E10*F10</f>
        <v>12</v>
      </c>
      <c r="H10" s="2" t="str">
        <f aca="false">IF(G10&gt;=20,"Critical",IF(G10&gt;=12,"High",IF(G10&gt;=6,"Medium","Low")))</f>
        <v>High</v>
      </c>
      <c r="I10" s="2" t="s">
        <v>13</v>
      </c>
    </row>
    <row r="11" customFormat="false" ht="31.5" hidden="false" customHeight="true" outlineLevel="0" collapsed="false">
      <c r="A11" s="2" t="s">
        <v>43</v>
      </c>
      <c r="B11" s="3" t="s">
        <v>44</v>
      </c>
      <c r="C11" s="2" t="s">
        <v>11</v>
      </c>
      <c r="D11" s="2" t="s">
        <v>45</v>
      </c>
      <c r="E11" s="4" t="n">
        <v>3</v>
      </c>
      <c r="F11" s="4" t="n">
        <v>4</v>
      </c>
      <c r="G11" s="2" t="n">
        <f aca="false">E11*F11</f>
        <v>12</v>
      </c>
      <c r="H11" s="2" t="str">
        <f aca="false">IF(G11&gt;=20,"Critical",IF(G11&gt;=12,"High",IF(G11&gt;=6,"Medium","Low")))</f>
        <v>High</v>
      </c>
      <c r="I11" s="2" t="s">
        <v>13</v>
      </c>
    </row>
    <row r="12" customFormat="false" ht="31.5" hidden="false" customHeight="true" outlineLevel="0" collapsed="false">
      <c r="A12" s="2" t="s">
        <v>46</v>
      </c>
      <c r="B12" s="3" t="s">
        <v>47</v>
      </c>
      <c r="C12" s="2" t="s">
        <v>48</v>
      </c>
      <c r="D12" s="2" t="s">
        <v>49</v>
      </c>
      <c r="E12" s="4" t="n">
        <v>2</v>
      </c>
      <c r="F12" s="4" t="n">
        <v>3</v>
      </c>
      <c r="G12" s="2" t="n">
        <f aca="false">E12*F12</f>
        <v>6</v>
      </c>
      <c r="H12" s="2" t="str">
        <f aca="false">IF(G12&gt;=20,"Critical",IF(G12&gt;=12,"High",IF(G12&gt;=6,"Medium","Low")))</f>
        <v>Medium</v>
      </c>
      <c r="I12" s="2" t="s">
        <v>50</v>
      </c>
    </row>
    <row r="13" customFormat="false" ht="31.5" hidden="false" customHeight="true" outlineLevel="0" collapsed="false">
      <c r="A13" s="2" t="s">
        <v>51</v>
      </c>
      <c r="B13" s="3" t="s">
        <v>52</v>
      </c>
      <c r="C13" s="2" t="s">
        <v>41</v>
      </c>
      <c r="D13" s="2" t="s">
        <v>53</v>
      </c>
      <c r="E13" s="4" t="n">
        <v>3</v>
      </c>
      <c r="F13" s="4" t="n">
        <v>3</v>
      </c>
      <c r="G13" s="2" t="n">
        <f aca="false">E13*F13</f>
        <v>9</v>
      </c>
      <c r="H13" s="2" t="str">
        <f aca="false">IF(G13&gt;=20,"Critical",IF(G13&gt;=12,"High",IF(G13&gt;=6,"Medium","Low")))</f>
        <v>Medium</v>
      </c>
      <c r="I13" s="2" t="s">
        <v>13</v>
      </c>
    </row>
    <row r="14" customFormat="false" ht="31.5" hidden="false" customHeight="true" outlineLevel="0" collapsed="false">
      <c r="A14" s="2" t="s">
        <v>54</v>
      </c>
      <c r="B14" s="3" t="s">
        <v>55</v>
      </c>
      <c r="C14" s="2" t="s">
        <v>20</v>
      </c>
      <c r="D14" s="2" t="s">
        <v>56</v>
      </c>
      <c r="E14" s="4" t="n">
        <v>3</v>
      </c>
      <c r="F14" s="4" t="n">
        <v>4</v>
      </c>
      <c r="G14" s="2" t="n">
        <f aca="false">E14*F14</f>
        <v>12</v>
      </c>
      <c r="H14" s="2" t="str">
        <f aca="false">IF(G14&gt;=20,"Critical",IF(G14&gt;=12,"High",IF(G14&gt;=6,"Medium","Low")))</f>
        <v>High</v>
      </c>
      <c r="I14" s="2" t="s">
        <v>13</v>
      </c>
    </row>
    <row r="15" customFormat="false" ht="31.5" hidden="false" customHeight="true" outlineLevel="0" collapsed="false">
      <c r="A15" s="2" t="s">
        <v>57</v>
      </c>
      <c r="B15" s="3" t="s">
        <v>58</v>
      </c>
      <c r="C15" s="2" t="s">
        <v>24</v>
      </c>
      <c r="D15" s="2" t="s">
        <v>59</v>
      </c>
      <c r="E15" s="4" t="n">
        <v>2</v>
      </c>
      <c r="F15" s="4" t="n">
        <v>5</v>
      </c>
      <c r="G15" s="2" t="n">
        <f aca="false">E15*F15</f>
        <v>10</v>
      </c>
      <c r="H15" s="2" t="str">
        <f aca="false">IF(G15&gt;=20,"Critical",IF(G15&gt;=12,"High",IF(G15&gt;=6,"Medium","Low")))</f>
        <v>Medium</v>
      </c>
      <c r="I15" s="2" t="s">
        <v>13</v>
      </c>
    </row>
    <row r="16" customFormat="false" ht="31.5" hidden="false" customHeight="true" outlineLevel="0" collapsed="false">
      <c r="A16" s="2" t="s">
        <v>60</v>
      </c>
      <c r="B16" s="3" t="s">
        <v>61</v>
      </c>
      <c r="C16" s="2" t="s">
        <v>62</v>
      </c>
      <c r="D16" s="2" t="s">
        <v>28</v>
      </c>
      <c r="E16" s="4" t="n">
        <v>2</v>
      </c>
      <c r="F16" s="4" t="n">
        <v>3</v>
      </c>
      <c r="G16" s="2" t="n">
        <f aca="false">E16*F16</f>
        <v>6</v>
      </c>
      <c r="H16" s="2" t="str">
        <f aca="false">IF(G16&gt;=20,"Critical",IF(G16&gt;=12,"High",IF(G16&gt;=6,"Medium","Low")))</f>
        <v>Medium</v>
      </c>
      <c r="I16" s="2" t="s">
        <v>63</v>
      </c>
    </row>
  </sheetData>
  <autoFilter ref="A1:I16"/>
  <conditionalFormatting sqref="H2:H16">
    <cfRule type="cellIs" priority="2" operator="equal" aboveAverage="0" equalAverage="0" bottom="0" percent="0" rank="0" text="" dxfId="6">
      <formula>"Critical"</formula>
    </cfRule>
    <cfRule type="cellIs" priority="3" operator="equal" aboveAverage="0" equalAverage="0" bottom="0" percent="0" rank="0" text="" dxfId="7">
      <formula>"High"</formula>
    </cfRule>
    <cfRule type="cellIs" priority="4" operator="equal" aboveAverage="0" equalAverage="0" bottom="0" percent="0" rank="0" text="" dxfId="8">
      <formula>"Medium"</formula>
    </cfRule>
    <cfRule type="cellIs" priority="5" operator="equal" aboveAverage="0" equalAverage="0" bottom="0" percent="0" rank="0" text="" dxfId="9">
      <formula>"Low"</formula>
    </cfRule>
  </conditionalFormatting>
  <dataValidations count="2">
    <dataValidation allowBlank="false" error="Enter a whole number from 1 to 5." errorStyle="stop" errorTitle="Invalid entry" operator="between" showDropDown="false" showErrorMessage="false" showInputMessage="false" sqref="E2:F16" type="whole">
      <formula1>1</formula1>
      <formula2>5</formula2>
    </dataValidation>
    <dataValidation allowBlank="false" errorStyle="stop" operator="between" showDropDown="false" showErrorMessage="false" showInputMessage="false" sqref="I2:I16" type="list">
      <formula1>"Avoid,Mitigate,Transfer,Accept"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5" t="s">
        <v>64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65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66</v>
      </c>
    </row>
    <row r="6" customFormat="false" ht="15" hidden="false" customHeight="false" outlineLevel="0" collapsed="false">
      <c r="A6" s="6" t="s">
        <v>67</v>
      </c>
    </row>
    <row r="7" customFormat="false" ht="15" hidden="false" customHeight="false" outlineLevel="0" collapsed="false">
      <c r="A7" s="6" t="s">
        <v>68</v>
      </c>
    </row>
    <row r="8" customFormat="false" ht="15" hidden="false" customHeight="false" outlineLevel="0" collapsed="false">
      <c r="A8" s="6" t="s">
        <v>69</v>
      </c>
    </row>
    <row r="9" customFormat="false" ht="15" hidden="false" customHeight="false" outlineLevel="0" collapsed="false">
      <c r="A9" s="6" t="s">
        <v>70</v>
      </c>
    </row>
    <row r="10" customFormat="false" ht="15" hidden="false" customHeight="false" outlineLevel="0" collapsed="false">
      <c r="A10" s="6" t="s">
        <v>71</v>
      </c>
    </row>
    <row r="11" customFormat="false" ht="15" hidden="false" customHeight="false" outlineLevel="0" collapsed="false">
      <c r="A11" s="6" t="s">
        <v>72</v>
      </c>
    </row>
    <row r="12" customFormat="false" ht="15" hidden="false" customHeight="false" outlineLevel="0" collapsed="false">
      <c r="A12" s="6" t="s">
        <v>73</v>
      </c>
    </row>
    <row r="13" customFormat="false" ht="15" hidden="false" customHeight="false" outlineLevel="0" collapsed="false">
      <c r="A13" s="6" t="s">
        <v>74</v>
      </c>
    </row>
    <row r="14" customFormat="false" ht="15" hidden="false" customHeight="false" outlineLevel="0" collapsed="false">
      <c r="A14" s="6" t="s">
        <v>75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6" t="s">
        <v>76</v>
      </c>
    </row>
    <row r="17" customFormat="false" ht="15" hidden="false" customHeight="false" outlineLevel="0" collapsed="false">
      <c r="A17" s="6"/>
    </row>
    <row r="18" customFormat="false" ht="15" hidden="false" customHeight="false" outlineLevel="0" collapsed="false">
      <c r="A18" s="6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2026-09-22T21:59:10Z</dcterms:created>
  <dc:creator>openpyxl</dc:creator>
  <dc:description/>
  <dc:language>en-US</dc:language>
  <cp:lastModifiedBy/>
  <dcterms:modified xsi:type="dcterms:W3CDTF">2026-09-22T21:59:10Z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