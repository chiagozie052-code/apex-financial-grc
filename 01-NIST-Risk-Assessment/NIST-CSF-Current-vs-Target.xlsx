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IST CSF Profile" sheetId="1" state="visible" r:id="rId3"/>
    <sheet name="Function Summary" sheetId="2" state="visible" r:id="rId4"/>
    <sheet name="Legend &amp; Notes" sheetId="3" state="visible" r:id="rId5"/>
  </sheets>
  <definedNames>
    <definedName function="false" hidden="true" localSheetId="0" name="_xlnm._FilterDatabase" vbProcedure="false">'NIST CSF Profile'!$A$1:$G$18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<sst xmlns="http://schemas.openxmlformats.org/spreadsheetml/2006/main" count="87" uniqueCount="69">
  <si>
    <t xml:space="preserve">Function</t>
  </si>
  <si>
    <t xml:space="preserve">Category</t>
  </si>
  <si>
    <t xml:space="preserve">Current Maturity (1-5)</t>
  </si>
  <si>
    <t xml:space="preserve">Target Maturity (1-5)</t>
  </si>
  <si>
    <t xml:space="preserve">Gap</t>
  </si>
  <si>
    <t xml:space="preserve">Priority</t>
  </si>
  <si>
    <t xml:space="preserve">Notes / Rationale</t>
  </si>
  <si>
    <t xml:space="preserve">Govern</t>
  </si>
  <si>
    <t xml:space="preserve">Organizational Context &amp; Risk Strategy</t>
  </si>
  <si>
    <t xml:space="preserve">Risk appetite and cybersecurity strategy are informally understood by leadership but not formally documented or board-reviewed.</t>
  </si>
  <si>
    <t xml:space="preserve">Roles, Responsibilities &amp; Authorities</t>
  </si>
  <si>
    <t xml:space="preserve">Security responsibilities exist within IT and Security teams but are not formally assigned across all business units.</t>
  </si>
  <si>
    <t xml:space="preserve">Cybersecurity Supply Chain Risk Mgmt</t>
  </si>
  <si>
    <t xml:space="preserve">Vendor risk reviews occur inconsistently; no formal third-party risk management program is in place.</t>
  </si>
  <si>
    <t xml:space="preserve">Identify</t>
  </si>
  <si>
    <t xml:space="preserve">Asset Management</t>
  </si>
  <si>
    <t xml:space="preserve">Asset inventory exists (see Asset-Inventory.xlsx) but is maintained manually rather than through automated discovery.</t>
  </si>
  <si>
    <t xml:space="preserve">Risk Assessment</t>
  </si>
  <si>
    <t xml:space="preserve">Risk assessments are performed periodically (this project) but not on a continuous, scheduled cadence.</t>
  </si>
  <si>
    <t xml:space="preserve">Improvement</t>
  </si>
  <si>
    <t xml:space="preserve">Lessons learned from incidents are discussed informally but not tracked through a formal improvement process.</t>
  </si>
  <si>
    <t xml:space="preserve">Protect</t>
  </si>
  <si>
    <t xml:space="preserve">Identity Mgmt, Authentication &amp; Access Control</t>
  </si>
  <si>
    <t xml:space="preserve">Entra ID and PAM vault are in place; MFA is not yet phishing-resistant and access reviews are not consistently quarterly.</t>
  </si>
  <si>
    <t xml:space="preserve">Awareness &amp; Training</t>
  </si>
  <si>
    <t xml:space="preserve">General security awareness training is required annually but lacks phishing simulations or role-based training.</t>
  </si>
  <si>
    <t xml:space="preserve">Data Security</t>
  </si>
  <si>
    <t xml:space="preserve">Data classification exists informally (see Asset-Inventory.xlsx Data Type column) but DLP tooling is not deployed.</t>
  </si>
  <si>
    <t xml:space="preserve">Platform &amp; Technology Infrastructure Security</t>
  </si>
  <si>
    <t xml:space="preserve">Endpoints are managed via Intune; patch SLAs are not formally enforced or measured.</t>
  </si>
  <si>
    <t xml:space="preserve">Detect</t>
  </si>
  <si>
    <t xml:space="preserve">Continuous Monitoring</t>
  </si>
  <si>
    <t xml:space="preserve">A SIEM platform is deployed but detection use cases are limited; not all critical assets forward logs.</t>
  </si>
  <si>
    <t xml:space="preserve">Adverse Event Analysis</t>
  </si>
  <si>
    <t xml:space="preserve">Security events are reviewed manually by the security team without a formal triage SLA.</t>
  </si>
  <si>
    <t xml:space="preserve">Respond</t>
  </si>
  <si>
    <t xml:space="preserve">Incident Management</t>
  </si>
  <si>
    <t xml:space="preserve">An incident response process exists but has not been tested via tabletop exercise in the past 12 months.</t>
  </si>
  <si>
    <t xml:space="preserve">Incident Analysis &amp; Mitigation</t>
  </si>
  <si>
    <t xml:space="preserve">Root cause analysis is performed inconsistently; mitigation steps are not tracked to closure in a central system.</t>
  </si>
  <si>
    <t xml:space="preserve">Incident Response Reporting &amp; Communication</t>
  </si>
  <si>
    <t xml:space="preserve">No formal communication plan exists for notifying customers or regulators in the event of a significant incident.</t>
  </si>
  <si>
    <t xml:space="preserve">Recover</t>
  </si>
  <si>
    <t xml:space="preserve">Incident Recovery Plan Execution</t>
  </si>
  <si>
    <t xml:space="preserve">Backup and disaster recovery procedures exist (see Asset-Inventory.xlsx A-018) but have not been fully tested end-to-end.</t>
  </si>
  <si>
    <t xml:space="preserve">Incident Recovery Communication</t>
  </si>
  <si>
    <t xml:space="preserve">No defined process for communicating recovery status to stakeholders during a prolonged outage.</t>
  </si>
  <si>
    <t xml:space="preserve">Average Maturity by NIST CSF Function</t>
  </si>
  <si>
    <t xml:space="preserve">Avg Current</t>
  </si>
  <si>
    <t xml:space="preserve">Avg Target</t>
  </si>
  <si>
    <t xml:space="preserve">Avg Gap</t>
  </si>
  <si>
    <t xml:space="preserve">NIST CSF 2.0 Current-vs-Target Profile — Legend &amp; Notes</t>
  </si>
  <si>
    <t xml:space="preserve">Purpose: Assesses Apex Financial Services' (fictional company) current cybersecurity maturity against a target state, organized by the six NIST CSF 2.0 functions.</t>
  </si>
  <si>
    <t xml:space="preserve">Maturity scale (1-5), adapted from common CSF implementation-tier practice:</t>
  </si>
  <si>
    <t xml:space="preserve">  1 = Ad hoc / not performed</t>
  </si>
  <si>
    <t xml:space="preserve">  2 = Informal / inconsistent</t>
  </si>
  <si>
    <t xml:space="preserve">  3 = Defined but not consistently measured</t>
  </si>
  <si>
    <t xml:space="preserve">  4 = Managed and measured</t>
  </si>
  <si>
    <t xml:space="preserve">  5 = Optimized / continuously improved</t>
  </si>
  <si>
    <t xml:space="preserve">Column definitions:</t>
  </si>
  <si>
    <t xml:space="preserve">  Function — One of the six NIST CSF 2.0 functions: Govern, Identify, Protect, Detect, Respond, Recover.</t>
  </si>
  <si>
    <t xml:space="preserve">  Category — A representative category within that function.</t>
  </si>
  <si>
    <t xml:space="preserve">  Current Maturity — Assessed current-state maturity (1-5).</t>
  </si>
  <si>
    <t xml:space="preserve">  Target Maturity — Desired future-state maturity (1-5).</t>
  </si>
  <si>
    <t xml:space="preserve">  Gap — Calculated as Target minus Current (formula-driven).</t>
  </si>
  <si>
    <t xml:space="preserve">  Priority — Derived from Gap: High (gap &gt;= 3), Medium (gap = 2), Low (gap &lt;= 1).</t>
  </si>
  <si>
    <t xml:space="preserve">  Notes / Rationale — Justification for the current-state rating, cross-referenced to other portfolio artifacts where applicable.</t>
  </si>
  <si>
    <t xml:space="preserve">The Function Summary tab averages Current and Target maturity per function to support the heat map and executive report.</t>
  </si>
  <si>
    <t xml:space="preserve">Note: Apex Financial Services is a fictional company created for portfolio purposes. All maturity ratings in this file are simulated and do not represent any real organization.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</si>
</sst>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5E4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5E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FF2C8"/>
          <bgColor rgb="FF000000"/>
        </patternFill>
      </fill>
    </dxf>
    <dxf>
      <fill>
        <patternFill>
          <bgColor rgb="FFF8CBCB"/>
        </patternFill>
      </fill>
    </dxf>
    <dxf>
      <fill>
        <patternFill>
          <bgColor rgb="FFFFF2C8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5E4A"/>
      <rgbColor rgb="FFC0C0C0"/>
      <rgbColor rgb="FF808080"/>
      <rgbColor rgb="FF9999FF"/>
      <rgbColor rgb="FF993366"/>
      <rgbColor rgb="FFFFF2C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4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8" hidden="false" customHeight="true" outlineLevel="0" collapsed="false">
      <c r="A2" s="2" t="s">
        <v>7</v>
      </c>
      <c r="B2" s="3" t="s">
        <v>8</v>
      </c>
      <c r="C2" s="4" t="n">
        <v>2</v>
      </c>
      <c r="D2" s="4" t="n">
        <v>4</v>
      </c>
      <c r="E2" s="5" t="n">
        <f aca="false">D2-C2</f>
        <v>2</v>
      </c>
      <c r="F2" s="6" t="str">
        <f aca="false">IF(E2&gt;=3,"High",IF(E2&gt;=2,"Medium","Low"))</f>
        <v>Medium</v>
      </c>
      <c r="G2" s="7" t="s">
        <v>9</v>
      </c>
    </row>
    <row r="3" customFormat="false" ht="48" hidden="false" customHeight="true" outlineLevel="0" collapsed="false">
      <c r="A3" s="2" t="s">
        <v>7</v>
      </c>
      <c r="B3" s="3" t="s">
        <v>10</v>
      </c>
      <c r="C3" s="4" t="n">
        <v>2</v>
      </c>
      <c r="D3" s="4" t="n">
        <v>4</v>
      </c>
      <c r="E3" s="5" t="n">
        <f aca="false">D3-C3</f>
        <v>2</v>
      </c>
      <c r="F3" s="6" t="str">
        <f aca="false">IF(E3&gt;=3,"High",IF(E3&gt;=2,"Medium","Low"))</f>
        <v>Medium</v>
      </c>
      <c r="G3" s="7" t="s">
        <v>11</v>
      </c>
    </row>
    <row r="4" customFormat="false" ht="31.5" hidden="false" customHeight="true" outlineLevel="0" collapsed="false">
      <c r="A4" s="2" t="s">
        <v>7</v>
      </c>
      <c r="B4" s="3" t="s">
        <v>12</v>
      </c>
      <c r="C4" s="4" t="n">
        <v>2</v>
      </c>
      <c r="D4" s="4" t="n">
        <v>4</v>
      </c>
      <c r="E4" s="5" t="n">
        <f aca="false">D4-C4</f>
        <v>2</v>
      </c>
      <c r="F4" s="6" t="str">
        <f aca="false">IF(E4&gt;=3,"High",IF(E4&gt;=2,"Medium","Low"))</f>
        <v>Medium</v>
      </c>
      <c r="G4" s="7" t="s">
        <v>13</v>
      </c>
    </row>
    <row r="5" customFormat="false" ht="48" hidden="false" customHeight="true" outlineLevel="0" collapsed="false">
      <c r="A5" s="2" t="s">
        <v>14</v>
      </c>
      <c r="B5" s="3" t="s">
        <v>15</v>
      </c>
      <c r="C5" s="4" t="n">
        <v>3</v>
      </c>
      <c r="D5" s="4" t="n">
        <v>4</v>
      </c>
      <c r="E5" s="5" t="n">
        <f aca="false">D5-C5</f>
        <v>1</v>
      </c>
      <c r="F5" s="6" t="str">
        <f aca="false">IF(E5&gt;=3,"High",IF(E5&gt;=2,"Medium","Low"))</f>
        <v>Low</v>
      </c>
      <c r="G5" s="7" t="s">
        <v>16</v>
      </c>
    </row>
    <row r="6" customFormat="false" ht="31.5" hidden="false" customHeight="true" outlineLevel="0" collapsed="false">
      <c r="A6" s="2" t="s">
        <v>14</v>
      </c>
      <c r="B6" s="3" t="s">
        <v>17</v>
      </c>
      <c r="C6" s="4" t="n">
        <v>3</v>
      </c>
      <c r="D6" s="4" t="n">
        <v>4</v>
      </c>
      <c r="E6" s="5" t="n">
        <f aca="false">D6-C6</f>
        <v>1</v>
      </c>
      <c r="F6" s="6" t="str">
        <f aca="false">IF(E6&gt;=3,"High",IF(E6&gt;=2,"Medium","Low"))</f>
        <v>Low</v>
      </c>
      <c r="G6" s="7" t="s">
        <v>18</v>
      </c>
    </row>
    <row r="7" customFormat="false" ht="31.5" hidden="false" customHeight="true" outlineLevel="0" collapsed="false">
      <c r="A7" s="2" t="s">
        <v>14</v>
      </c>
      <c r="B7" s="3" t="s">
        <v>19</v>
      </c>
      <c r="C7" s="4" t="n">
        <v>2</v>
      </c>
      <c r="D7" s="4" t="n">
        <v>3</v>
      </c>
      <c r="E7" s="5" t="n">
        <f aca="false">D7-C7</f>
        <v>1</v>
      </c>
      <c r="F7" s="6" t="str">
        <f aca="false">IF(E7&gt;=3,"High",IF(E7&gt;=2,"Medium","Low"))</f>
        <v>Low</v>
      </c>
      <c r="G7" s="7" t="s">
        <v>20</v>
      </c>
    </row>
    <row r="8" customFormat="false" ht="48" hidden="false" customHeight="true" outlineLevel="0" collapsed="false">
      <c r="A8" s="2" t="s">
        <v>21</v>
      </c>
      <c r="B8" s="3" t="s">
        <v>22</v>
      </c>
      <c r="C8" s="4" t="n">
        <v>3</v>
      </c>
      <c r="D8" s="4" t="n">
        <v>5</v>
      </c>
      <c r="E8" s="5" t="n">
        <f aca="false">D8-C8</f>
        <v>2</v>
      </c>
      <c r="F8" s="6" t="str">
        <f aca="false">IF(E8&gt;=3,"High",IF(E8&gt;=2,"Medium","Low"))</f>
        <v>Medium</v>
      </c>
      <c r="G8" s="7" t="s">
        <v>23</v>
      </c>
    </row>
    <row r="9" customFormat="false" ht="31.5" hidden="false" customHeight="true" outlineLevel="0" collapsed="false">
      <c r="A9" s="2" t="s">
        <v>21</v>
      </c>
      <c r="B9" s="3" t="s">
        <v>24</v>
      </c>
      <c r="C9" s="4" t="n">
        <v>2</v>
      </c>
      <c r="D9" s="4" t="n">
        <v>4</v>
      </c>
      <c r="E9" s="5" t="n">
        <f aca="false">D9-C9</f>
        <v>2</v>
      </c>
      <c r="F9" s="6" t="str">
        <f aca="false">IF(E9&gt;=3,"High",IF(E9&gt;=2,"Medium","Low"))</f>
        <v>Medium</v>
      </c>
      <c r="G9" s="7" t="s">
        <v>25</v>
      </c>
    </row>
    <row r="10" customFormat="false" ht="31.5" hidden="false" customHeight="true" outlineLevel="0" collapsed="false">
      <c r="A10" s="2" t="s">
        <v>21</v>
      </c>
      <c r="B10" s="3" t="s">
        <v>26</v>
      </c>
      <c r="C10" s="4" t="n">
        <v>3</v>
      </c>
      <c r="D10" s="4" t="n">
        <v>4</v>
      </c>
      <c r="E10" s="5" t="n">
        <f aca="false">D10-C10</f>
        <v>1</v>
      </c>
      <c r="F10" s="6" t="str">
        <f aca="false">IF(E10&gt;=3,"High",IF(E10&gt;=2,"Medium","Low"))</f>
        <v>Low</v>
      </c>
      <c r="G10" s="7" t="s">
        <v>27</v>
      </c>
    </row>
    <row r="11" customFormat="false" ht="31.5" hidden="false" customHeight="true" outlineLevel="0" collapsed="false">
      <c r="A11" s="2" t="s">
        <v>21</v>
      </c>
      <c r="B11" s="3" t="s">
        <v>28</v>
      </c>
      <c r="C11" s="4" t="n">
        <v>3</v>
      </c>
      <c r="D11" s="4" t="n">
        <v>4</v>
      </c>
      <c r="E11" s="5" t="n">
        <f aca="false">D11-C11</f>
        <v>1</v>
      </c>
      <c r="F11" s="6" t="str">
        <f aca="false">IF(E11&gt;=3,"High",IF(E11&gt;=2,"Medium","Low"))</f>
        <v>Low</v>
      </c>
      <c r="G11" s="7" t="s">
        <v>29</v>
      </c>
    </row>
    <row r="12" customFormat="false" ht="31.5" hidden="false" customHeight="true" outlineLevel="0" collapsed="false">
      <c r="A12" s="2" t="s">
        <v>30</v>
      </c>
      <c r="B12" s="3" t="s">
        <v>31</v>
      </c>
      <c r="C12" s="4" t="n">
        <v>2</v>
      </c>
      <c r="D12" s="4" t="n">
        <v>4</v>
      </c>
      <c r="E12" s="5" t="n">
        <f aca="false">D12-C12</f>
        <v>2</v>
      </c>
      <c r="F12" s="6" t="str">
        <f aca="false">IF(E12&gt;=3,"High",IF(E12&gt;=2,"Medium","Low"))</f>
        <v>Medium</v>
      </c>
      <c r="G12" s="7" t="s">
        <v>32</v>
      </c>
    </row>
    <row r="13" customFormat="false" ht="31.5" hidden="false" customHeight="true" outlineLevel="0" collapsed="false">
      <c r="A13" s="2" t="s">
        <v>30</v>
      </c>
      <c r="B13" s="3" t="s">
        <v>33</v>
      </c>
      <c r="C13" s="4" t="n">
        <v>2</v>
      </c>
      <c r="D13" s="4" t="n">
        <v>4</v>
      </c>
      <c r="E13" s="5" t="n">
        <f aca="false">D13-C13</f>
        <v>2</v>
      </c>
      <c r="F13" s="6" t="str">
        <f aca="false">IF(E13&gt;=3,"High",IF(E13&gt;=2,"Medium","Low"))</f>
        <v>Medium</v>
      </c>
      <c r="G13" s="7" t="s">
        <v>34</v>
      </c>
    </row>
    <row r="14" customFormat="false" ht="31.5" hidden="false" customHeight="true" outlineLevel="0" collapsed="false">
      <c r="A14" s="2" t="s">
        <v>35</v>
      </c>
      <c r="B14" s="3" t="s">
        <v>36</v>
      </c>
      <c r="C14" s="4" t="n">
        <v>3</v>
      </c>
      <c r="D14" s="4" t="n">
        <v>4</v>
      </c>
      <c r="E14" s="5" t="n">
        <f aca="false">D14-C14</f>
        <v>1</v>
      </c>
      <c r="F14" s="6" t="str">
        <f aca="false">IF(E14&gt;=3,"High",IF(E14&gt;=2,"Medium","Low"))</f>
        <v>Low</v>
      </c>
      <c r="G14" s="7" t="s">
        <v>37</v>
      </c>
    </row>
    <row r="15" customFormat="false" ht="31.5" hidden="false" customHeight="true" outlineLevel="0" collapsed="false">
      <c r="A15" s="2" t="s">
        <v>35</v>
      </c>
      <c r="B15" s="3" t="s">
        <v>38</v>
      </c>
      <c r="C15" s="4" t="n">
        <v>2</v>
      </c>
      <c r="D15" s="4" t="n">
        <v>4</v>
      </c>
      <c r="E15" s="5" t="n">
        <f aca="false">D15-C15</f>
        <v>2</v>
      </c>
      <c r="F15" s="6" t="str">
        <f aca="false">IF(E15&gt;=3,"High",IF(E15&gt;=2,"Medium","Low"))</f>
        <v>Medium</v>
      </c>
      <c r="G15" s="7" t="s">
        <v>39</v>
      </c>
    </row>
    <row r="16" customFormat="false" ht="31.5" hidden="false" customHeight="true" outlineLevel="0" collapsed="false">
      <c r="A16" s="2" t="s">
        <v>35</v>
      </c>
      <c r="B16" s="3" t="s">
        <v>40</v>
      </c>
      <c r="C16" s="4" t="n">
        <v>2</v>
      </c>
      <c r="D16" s="4" t="n">
        <v>3</v>
      </c>
      <c r="E16" s="5" t="n">
        <f aca="false">D16-C16</f>
        <v>1</v>
      </c>
      <c r="F16" s="6" t="str">
        <f aca="false">IF(E16&gt;=3,"High",IF(E16&gt;=2,"Medium","Low"))</f>
        <v>Low</v>
      </c>
      <c r="G16" s="7" t="s">
        <v>41</v>
      </c>
    </row>
    <row r="17" customFormat="false" ht="48" hidden="false" customHeight="true" outlineLevel="0" collapsed="false">
      <c r="A17" s="2" t="s">
        <v>42</v>
      </c>
      <c r="B17" s="3" t="s">
        <v>43</v>
      </c>
      <c r="C17" s="4" t="n">
        <v>2</v>
      </c>
      <c r="D17" s="4" t="n">
        <v>4</v>
      </c>
      <c r="E17" s="5" t="n">
        <f aca="false">D17-C17</f>
        <v>2</v>
      </c>
      <c r="F17" s="6" t="str">
        <f aca="false">IF(E17&gt;=3,"High",IF(E17&gt;=2,"Medium","Low"))</f>
        <v>Medium</v>
      </c>
      <c r="G17" s="7" t="s">
        <v>44</v>
      </c>
    </row>
    <row r="18" customFormat="false" ht="31.5" hidden="false" customHeight="true" outlineLevel="0" collapsed="false">
      <c r="A18" s="2" t="s">
        <v>42</v>
      </c>
      <c r="B18" s="3" t="s">
        <v>45</v>
      </c>
      <c r="C18" s="4" t="n">
        <v>2</v>
      </c>
      <c r="D18" s="4" t="n">
        <v>3</v>
      </c>
      <c r="E18" s="5" t="n">
        <f aca="false">D18-C18</f>
        <v>1</v>
      </c>
      <c r="F18" s="6" t="str">
        <f aca="false">IF(E18&gt;=3,"High",IF(E18&gt;=2,"Medium","Low"))</f>
        <v>Low</v>
      </c>
      <c r="G18" s="7" t="s">
        <v>46</v>
      </c>
    </row>
  </sheetData>
  <autoFilter ref="A1:G18"/>
  <conditionalFormatting sqref="F2:F18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dataValidations count="1">
    <dataValidation allowBlank="false" error="Enter a whole number from 1 to 5." errorStyle="stop" errorTitle="Invalid entry" operator="between" showDropDown="false" showErrorMessage="false" showInputMessage="false" sqref="C2:D18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8" t="s">
        <v>47</v>
      </c>
    </row>
    <row r="3" customFormat="false" ht="15" hidden="false" customHeight="false" outlineLevel="0" collapsed="false">
      <c r="A3" s="9" t="s">
        <v>0</v>
      </c>
      <c r="B3" s="9" t="s">
        <v>48</v>
      </c>
      <c r="C3" s="9" t="s">
        <v>49</v>
      </c>
      <c r="D3" s="9" t="s">
        <v>50</v>
      </c>
    </row>
    <row r="4" customFormat="false" ht="15" hidden="false" customHeight="false" outlineLevel="0" collapsed="false">
      <c r="A4" s="10" t="s">
        <v>7</v>
      </c>
      <c r="B4" s="11" t="n">
        <f aca="false">AVERAGEIF('NIST CSF Profile'!A:A,A4,'NIST CSF Profile'!C:C)</f>
        <v>2</v>
      </c>
      <c r="C4" s="11" t="n">
        <f aca="false">AVERAGEIF('NIST CSF Profile'!A:A,A4,'NIST CSF Profile'!D:D)</f>
        <v>4</v>
      </c>
      <c r="D4" s="12" t="n">
        <f aca="false">C4-B4</f>
        <v>2</v>
      </c>
    </row>
    <row r="5" customFormat="false" ht="15" hidden="false" customHeight="false" outlineLevel="0" collapsed="false">
      <c r="A5" s="10" t="s">
        <v>14</v>
      </c>
      <c r="B5" s="11" t="n">
        <f aca="false">AVERAGEIF('NIST CSF Profile'!A:A,A5,'NIST CSF Profile'!C:C)</f>
        <v>2.66666666666667</v>
      </c>
      <c r="C5" s="11" t="n">
        <f aca="false">AVERAGEIF('NIST CSF Profile'!A:A,A5,'NIST CSF Profile'!D:D)</f>
        <v>3.66666666666667</v>
      </c>
      <c r="D5" s="12" t="n">
        <f aca="false">C5-B5</f>
        <v>1</v>
      </c>
    </row>
    <row r="6" customFormat="false" ht="15" hidden="false" customHeight="false" outlineLevel="0" collapsed="false">
      <c r="A6" s="10" t="s">
        <v>21</v>
      </c>
      <c r="B6" s="11" t="n">
        <f aca="false">AVERAGEIF('NIST CSF Profile'!A:A,A6,'NIST CSF Profile'!C:C)</f>
        <v>2.75</v>
      </c>
      <c r="C6" s="11" t="n">
        <f aca="false">AVERAGEIF('NIST CSF Profile'!A:A,A6,'NIST CSF Profile'!D:D)</f>
        <v>4.25</v>
      </c>
      <c r="D6" s="12" t="n">
        <f aca="false">C6-B6</f>
        <v>1.5</v>
      </c>
    </row>
    <row r="7" customFormat="false" ht="15" hidden="false" customHeight="false" outlineLevel="0" collapsed="false">
      <c r="A7" s="10" t="s">
        <v>30</v>
      </c>
      <c r="B7" s="11" t="n">
        <f aca="false">AVERAGEIF('NIST CSF Profile'!A:A,A7,'NIST CSF Profile'!C:C)</f>
        <v>2</v>
      </c>
      <c r="C7" s="11" t="n">
        <f aca="false">AVERAGEIF('NIST CSF Profile'!A:A,A7,'NIST CSF Profile'!D:D)</f>
        <v>4</v>
      </c>
      <c r="D7" s="12" t="n">
        <f aca="false">C7-B7</f>
        <v>2</v>
      </c>
    </row>
    <row r="8" customFormat="false" ht="15" hidden="false" customHeight="false" outlineLevel="0" collapsed="false">
      <c r="A8" s="10" t="s">
        <v>35</v>
      </c>
      <c r="B8" s="11" t="n">
        <f aca="false">AVERAGEIF('NIST CSF Profile'!A:A,A8,'NIST CSF Profile'!C:C)</f>
        <v>2.33333333333333</v>
      </c>
      <c r="C8" s="11" t="n">
        <f aca="false">AVERAGEIF('NIST CSF Profile'!A:A,A8,'NIST CSF Profile'!D:D)</f>
        <v>3.66666666666667</v>
      </c>
      <c r="D8" s="12" t="n">
        <f aca="false">C8-B8</f>
        <v>1.33333333333333</v>
      </c>
    </row>
    <row r="9" customFormat="false" ht="15" hidden="false" customHeight="false" outlineLevel="0" collapsed="false">
      <c r="A9" s="10" t="s">
        <v>42</v>
      </c>
      <c r="B9" s="11" t="n">
        <f aca="false">AVERAGEIF('NIST CSF Profile'!A:A,A9,'NIST CSF Profile'!C:C)</f>
        <v>2</v>
      </c>
      <c r="C9" s="11" t="n">
        <f aca="false">AVERAGEIF('NIST CSF Profile'!A:A,A9,'NIST CSF Profile'!D:D)</f>
        <v>3.5</v>
      </c>
      <c r="D9" s="12" t="n">
        <f aca="false">C9-B9</f>
        <v>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8" t="s">
        <v>51</v>
      </c>
    </row>
    <row r="2" customFormat="false" ht="15" hidden="false" customHeight="false" outlineLevel="0" collapsed="false">
      <c r="A2" s="13"/>
    </row>
    <row r="3" customFormat="false" ht="15" hidden="false" customHeight="false" outlineLevel="0" collapsed="false">
      <c r="A3" s="13" t="s">
        <v>52</v>
      </c>
    </row>
    <row r="4" customFormat="false" ht="15" hidden="false" customHeight="false" outlineLevel="0" collapsed="false">
      <c r="A4" s="13"/>
    </row>
    <row r="5" customFormat="false" ht="15" hidden="false" customHeight="false" outlineLevel="0" collapsed="false">
      <c r="A5" s="14" t="s">
        <v>53</v>
      </c>
    </row>
    <row r="6" customFormat="false" ht="15" hidden="false" customHeight="false" outlineLevel="0" collapsed="false">
      <c r="A6" s="13" t="s">
        <v>54</v>
      </c>
    </row>
    <row r="7" customFormat="false" ht="15" hidden="false" customHeight="false" outlineLevel="0" collapsed="false">
      <c r="A7" s="13" t="s">
        <v>55</v>
      </c>
    </row>
    <row r="8" customFormat="false" ht="15" hidden="false" customHeight="false" outlineLevel="0" collapsed="false">
      <c r="A8" s="13" t="s">
        <v>56</v>
      </c>
    </row>
    <row r="9" customFormat="false" ht="15" hidden="false" customHeight="false" outlineLevel="0" collapsed="false">
      <c r="A9" s="13" t="s">
        <v>57</v>
      </c>
    </row>
    <row r="10" customFormat="false" ht="15" hidden="false" customHeight="false" outlineLevel="0" collapsed="false">
      <c r="A10" s="13" t="s">
        <v>58</v>
      </c>
    </row>
    <row r="11" customFormat="false" ht="15" hidden="false" customHeight="false" outlineLevel="0" collapsed="false">
      <c r="A11" s="13"/>
    </row>
    <row r="12" customFormat="false" ht="15" hidden="false" customHeight="false" outlineLevel="0" collapsed="false">
      <c r="A12" s="14" t="s">
        <v>59</v>
      </c>
    </row>
    <row r="13" customFormat="false" ht="15" hidden="false" customHeight="false" outlineLevel="0" collapsed="false">
      <c r="A13" s="13" t="s">
        <v>60</v>
      </c>
    </row>
    <row r="14" customFormat="false" ht="15" hidden="false" customHeight="false" outlineLevel="0" collapsed="false">
      <c r="A14" s="13" t="s">
        <v>61</v>
      </c>
    </row>
    <row r="15" customFormat="false" ht="15" hidden="false" customHeight="false" outlineLevel="0" collapsed="false">
      <c r="A15" s="13" t="s">
        <v>62</v>
      </c>
    </row>
    <row r="16" customFormat="false" ht="15" hidden="false" customHeight="false" outlineLevel="0" collapsed="false">
      <c r="A16" s="13" t="s">
        <v>63</v>
      </c>
    </row>
    <row r="17" customFormat="false" ht="15" hidden="false" customHeight="false" outlineLevel="0" collapsed="false">
      <c r="A17" s="13" t="s">
        <v>64</v>
      </c>
    </row>
    <row r="18" customFormat="false" ht="15" hidden="false" customHeight="false" outlineLevel="0" collapsed="false">
      <c r="A18" s="13" t="s">
        <v>65</v>
      </c>
    </row>
    <row r="19" customFormat="false" ht="15" hidden="false" customHeight="false" outlineLevel="0" collapsed="false">
      <c r="A19" s="13" t="s">
        <v>66</v>
      </c>
    </row>
    <row r="20" customFormat="false" ht="15" hidden="false" customHeight="false" outlineLevel="0" collapsed="false">
      <c r="A20" s="13"/>
    </row>
    <row r="21" customFormat="false" ht="15" hidden="false" customHeight="false" outlineLevel="0" collapsed="false">
      <c r="A21" s="13" t="s">
        <v>67</v>
      </c>
    </row>
    <row r="22" customFormat="false" ht="15" hidden="false" customHeight="false" outlineLevel="0" collapsed="false">
      <c r="A22" s="13"/>
    </row>
    <row r="23" customFormat="false" ht="15" hidden="false" customHeight="false" outlineLevel="0" collapsed="false">
      <c r="A23" s="1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2026-09-22T22:08:35Z</dcterms:created>
  <dc:creator>openpyxl</dc:creator>
  <dc:description/>
  <dc:language>en-US</dc:language>
  <cp:lastModifiedBy/>
  <dcterms:modified xsi:type="dcterms:W3CDTF">2026-09-22T22:08:35Z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